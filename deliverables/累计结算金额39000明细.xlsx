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已完成订单明细" sheetId="1" state="visible" r:id="rId1"/>
    <sheet name="统计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27D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9" fontId="0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9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32" customWidth="1" min="3" max="3"/>
    <col width="10" customWidth="1" min="4" max="4"/>
    <col width="13" customWidth="1" min="5" max="5"/>
    <col width="13" customWidth="1" min="6" max="6"/>
    <col width="14" customWidth="1" min="7" max="7"/>
    <col width="14" customWidth="1" min="8" max="8"/>
    <col width="8" customWidth="1" min="9" max="9"/>
    <col width="17" customWidth="1" min="10" max="10"/>
    <col width="17" customWidth="1" min="11" max="11"/>
  </cols>
  <sheetData>
    <row r="1">
      <c r="A1" s="1" t="inlineStr">
        <is>
          <t>订单号</t>
        </is>
      </c>
      <c r="B1" s="1" t="inlineStr">
        <is>
          <t>需求标题</t>
        </is>
      </c>
      <c r="C1" s="1" t="inlineStr">
        <is>
          <t>发布方</t>
        </is>
      </c>
      <c r="D1" s="1" t="inlineStr">
        <is>
          <t>接单OPC</t>
        </is>
      </c>
      <c r="E1" s="1" t="inlineStr">
        <is>
          <t>订单金额(元)</t>
        </is>
      </c>
      <c r="F1" s="1" t="inlineStr">
        <is>
          <t>OPC分成(元)</t>
        </is>
      </c>
      <c r="G1" s="1" t="inlineStr">
        <is>
          <t>发布方分成(元)</t>
        </is>
      </c>
      <c r="H1" s="1" t="inlineStr">
        <is>
          <t>平台服务费(元)</t>
        </is>
      </c>
      <c r="I1" s="1" t="inlineStr">
        <is>
          <t>佣金率</t>
        </is>
      </c>
      <c r="J1" s="1" t="inlineStr">
        <is>
          <t>创建时间</t>
        </is>
      </c>
      <c r="K1" s="1" t="inlineStr">
        <is>
          <t>完成时间</t>
        </is>
      </c>
    </row>
    <row r="2">
      <c r="A2" t="inlineStr">
        <is>
          <t>ORD-202602-0001</t>
        </is>
      </c>
      <c r="B2" t="inlineStr">
        <is>
          <t>政企AI培训方案设计与授课</t>
        </is>
      </c>
      <c r="C2" t="inlineStr">
        <is>
          <t>北京海创元人工智能教育科技有限公司</t>
        </is>
      </c>
      <c r="D2" t="inlineStr">
        <is>
          <t>李思齐</t>
        </is>
      </c>
      <c r="E2" s="2" t="n">
        <v>20000</v>
      </c>
      <c r="F2" s="2" t="n">
        <v>12000</v>
      </c>
      <c r="G2" s="2" t="n">
        <v>6000</v>
      </c>
      <c r="H2" s="2" t="n">
        <v>2000</v>
      </c>
      <c r="I2" s="3" t="n">
        <v>0.1</v>
      </c>
      <c r="J2" t="inlineStr">
        <is>
          <t>2026-03-24 03:24</t>
        </is>
      </c>
      <c r="K2" t="inlineStr">
        <is>
          <t>2026-03-24 03:24</t>
        </is>
      </c>
    </row>
    <row r="3">
      <c r="A3" t="inlineStr">
        <is>
          <t>ORD-202602-0002</t>
        </is>
      </c>
      <c r="B3" t="inlineStr">
        <is>
          <t>AI研学基地宣传视频制作</t>
        </is>
      </c>
      <c r="C3" t="inlineStr">
        <is>
          <t>北京海创元人工智能教育科技有限公司</t>
        </is>
      </c>
      <c r="D3" t="inlineStr">
        <is>
          <t>王雅琴</t>
        </is>
      </c>
      <c r="E3" s="2" t="n">
        <v>12000</v>
      </c>
      <c r="F3" s="2" t="n">
        <v>7200</v>
      </c>
      <c r="G3" s="2" t="n">
        <v>3600</v>
      </c>
      <c r="H3" s="2" t="n">
        <v>1200</v>
      </c>
      <c r="I3" s="3" t="n">
        <v>0.1</v>
      </c>
      <c r="J3" t="inlineStr">
        <is>
          <t>2026-03-24 03:24</t>
        </is>
      </c>
      <c r="K3" t="inlineStr">
        <is>
          <t>2026-03-24 03:24</t>
        </is>
      </c>
    </row>
    <row r="4">
      <c r="A4" t="inlineStr">
        <is>
          <t>ORD-202603-1350</t>
        </is>
      </c>
      <c r="B4" t="inlineStr">
        <is>
          <t>2026人工智能生态峰OPC案例分享环节统筹、分享以及客户追踪</t>
        </is>
      </c>
      <c r="C4" t="inlineStr">
        <is>
          <t>北京海创元人工智能教育科技有限公司</t>
        </is>
      </c>
      <c r="D4" t="inlineStr">
        <is>
          <t>一淼</t>
        </is>
      </c>
      <c r="E4" s="2" t="n">
        <v>2000</v>
      </c>
      <c r="F4" s="2" t="n">
        <v>1200</v>
      </c>
      <c r="G4" s="2" t="n">
        <v>600</v>
      </c>
      <c r="H4" s="2" t="n">
        <v>200</v>
      </c>
      <c r="I4" s="3" t="n">
        <v>0.1</v>
      </c>
      <c r="J4" t="inlineStr">
        <is>
          <t>2026-03-30 08:11</t>
        </is>
      </c>
      <c r="K4" t="inlineStr">
        <is>
          <t>2026-04-14 01:37</t>
        </is>
      </c>
    </row>
    <row r="5">
      <c r="A5" t="inlineStr">
        <is>
          <t>ORD-202604-8214</t>
        </is>
      </c>
      <c r="B5" t="inlineStr">
        <is>
          <t>社区运营数据分析报告</t>
        </is>
      </c>
      <c r="C5" t="inlineStr">
        <is>
          <t>北京海创元人工智能教育科技有限公司</t>
        </is>
      </c>
      <c r="D5" t="inlineStr">
        <is>
          <t>余黎敏</t>
        </is>
      </c>
      <c r="E5" s="2" t="n">
        <v>5000</v>
      </c>
      <c r="F5" s="2" t="n">
        <v>4500</v>
      </c>
      <c r="G5" s="2" t="n">
        <v>0</v>
      </c>
      <c r="H5" s="2" t="n">
        <v>500</v>
      </c>
      <c r="I5" s="3" t="n">
        <v>0.1</v>
      </c>
      <c r="J5" t="inlineStr">
        <is>
          <t>2026-04-08 06:36</t>
        </is>
      </c>
      <c r="K5" t="inlineStr">
        <is>
          <t>2026-04-24 01:30</t>
        </is>
      </c>
    </row>
    <row r="6">
      <c r="A6" s="4" t="inlineStr">
        <is>
          <t>合计</t>
        </is>
      </c>
      <c r="B6" s="4" t="inlineStr"/>
      <c r="C6" s="4" t="inlineStr"/>
      <c r="D6" s="4" t="inlineStr"/>
      <c r="E6" s="5">
        <f>SUM(E2:E5)</f>
        <v/>
      </c>
      <c r="F6" s="5">
        <f>SUM(F2:F5)</f>
        <v/>
      </c>
      <c r="G6" s="5">
        <f>SUM(G2:G5)</f>
        <v/>
      </c>
      <c r="H6" s="5">
        <f>SUM(H2:H5)</f>
        <v/>
      </c>
      <c r="I6" s="6" t="inlineStr"/>
      <c r="J6" s="4" t="inlineStr"/>
      <c r="K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首页「累计结算金额」显示 ¥39,000(三万九千元)</t>
        </is>
      </c>
    </row>
    <row r="2">
      <c r="A2" t="inlineStr"/>
    </row>
    <row r="3">
      <c r="A3" t="inlineStr">
        <is>
          <t>统计口径:orders 表中状态为 completed(已完成)的订单金额合计</t>
        </is>
      </c>
    </row>
    <row r="4">
      <c r="A4" t="inlineStr">
        <is>
          <t>计算:20,000 + 12,000 + 2,000 + 5,000 = 39,000 元</t>
        </is>
      </c>
    </row>
    <row r="5">
      <c r="A5" t="inlineStr"/>
    </row>
    <row r="6">
      <c r="A6" t="inlineStr">
        <is>
          <t>注意:进行中(in_progress)的 7 笔订单合计 330,350 元,不计入该数字</t>
        </is>
      </c>
    </row>
    <row r="7">
      <c r="A7" t="inlineStr">
        <is>
          <t>时间均为北京时间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2026-08-19T01:51:31Z</dcterms:created>
  <dcterms:modified xsi:type="dcterms:W3CDTF">2026-08-19T01:51:31Z</dcterms:modified>
</cp:coreProperties>
</file>